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F24D7F77-E92C-4CC6-B19D-DF31C5A9E8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 a="1"/>
  <c r="H13" i="2" s="1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 s="1"/>
  <c r="H6" i="2" a="1"/>
  <c r="H6" i="2" s="1"/>
  <c r="H5" i="2" a="1"/>
  <c r="H5" i="2" s="1"/>
  <c r="H4" i="2" a="1"/>
  <c r="H4" i="2" s="1"/>
  <c r="H3" i="2" a="1"/>
  <c r="H3" i="2" s="1"/>
  <c r="H2" i="2" a="1"/>
  <c r="H2" i="2" s="1"/>
  <c r="H1" i="2" a="1"/>
  <c r="H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<sst xmlns="http://schemas.openxmlformats.org/spreadsheetml/2006/main" count="156" uniqueCount="84">
  <si>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</si>
  <si>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</si>
  <si>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</si>
  <si>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</si>
  <si>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</si>
  <si>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</si>
  <si>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Keyed+NiceHealthTabSettingsCategory</t>
  </si>
  <si>
    <t>Keyed</t>
  </si>
  <si>
    <t>NiceHealthTabSettingsCategory</t>
  </si>
  <si>
    <t>Nice Health Tab</t>
  </si>
  <si>
    <t>- Nice Health Tab -</t>
  </si>
  <si>
    <t>Keyed+ExtraOverlayEnabled</t>
  </si>
  <si>
    <t>ExtraOverlayEnabled</t>
  </si>
  <si>
    <t>Enable additional layers (bones may visually overlap organs)</t>
  </si>
  <si>
    <t>추가 레이어 활성화 (뼈와 장기가 시각적으로 겹칠 수 있음)</t>
  </si>
  <si>
    <t>Keyed+AlwaysVanillaEyes</t>
  </si>
  <si>
    <t>AlwaysVanillaEyes</t>
  </si>
  <si>
    <t>Eyes from the vanilla game</t>
  </si>
  <si>
    <t>바닐라 눈</t>
  </si>
  <si>
    <t>Keyed+AllowKidDollVariant</t>
  </si>
  <si>
    <t>AllowKidDollVariant</t>
  </si>
  <si>
    <t>Allow child doll variant</t>
  </si>
  <si>
    <t>아동 인형 변형 허용</t>
  </si>
  <si>
    <t>Keyed+UsingVanillaListRowColors</t>
  </si>
  <si>
    <t>UsingVanillaListRowColors</t>
  </si>
  <si>
    <t>Using vanilla body part colors in list</t>
  </si>
  <si>
    <t>목록에서 바닐라 신체 부위 색상 사용</t>
  </si>
  <si>
    <t>Keyed+NHTCommonTab</t>
  </si>
  <si>
    <t>NHTCommonTab</t>
  </si>
  <si>
    <t>Common</t>
  </si>
  <si>
    <t>일반</t>
  </si>
  <si>
    <t>Keyed+NHTBodyPartsTab</t>
  </si>
  <si>
    <t>NHTBodyPartsTab</t>
  </si>
  <si>
    <t>Body parts</t>
  </si>
  <si>
    <t>신체 부위</t>
  </si>
  <si>
    <t>Keyed+AssignDefaultBodyParts</t>
  </si>
  <si>
    <t>AssignDefaultBodyParts</t>
  </si>
  <si>
    <t>Assign parts appropriate to another body type</t>
  </si>
  <si>
    <t>다른 체형에 적절한 부위 할당</t>
  </si>
  <si>
    <t>Keyed+DefaultBodyParts</t>
  </si>
  <si>
    <t>DefaultBodyParts</t>
  </si>
  <si>
    <t>Default body parts:</t>
  </si>
  <si>
    <t>기본 신체 부위:</t>
  </si>
  <si>
    <t>Keyed+BodyPartsSuff</t>
  </si>
  <si>
    <t>BodyPartsSuff</t>
  </si>
  <si>
    <t>body parts:</t>
  </si>
  <si>
    <t>신체 부위:</t>
  </si>
  <si>
    <t>Keyed+ResetAll</t>
  </si>
  <si>
    <t>ResetAll</t>
  </si>
  <si>
    <t>Reset all</t>
  </si>
  <si>
    <t>모두 초기화</t>
  </si>
  <si>
    <t>Keyed+Reset</t>
  </si>
  <si>
    <t>Reset</t>
  </si>
  <si>
    <t>초기화</t>
  </si>
  <si>
    <t>Keyed+AutoAssign</t>
  </si>
  <si>
    <t>AutoAssign</t>
  </si>
  <si>
    <t>Auto assign</t>
  </si>
  <si>
    <t>자동 할당</t>
  </si>
  <si>
    <t>Keyed+ProstheticNoMissingBodyPartsFill</t>
  </si>
  <si>
    <t>ProstheticNoMissingBodyPartsFill</t>
  </si>
  <si>
    <t>Complete a body part with prosthesis</t>
  </si>
  <si>
    <t>Keyed+ShowImplantedOrgans</t>
  </si>
  <si>
    <t>ShowImplantedOrgans</t>
  </si>
  <si>
    <t>Show implanted organs</t>
  </si>
  <si>
    <t>Keyed+KidAgeRange</t>
  </si>
  <si>
    <t>KidAgeRange</t>
  </si>
  <si>
    <t>Child age range ({0} - {1})</t>
  </si>
  <si>
    <t>Keyed+ShowAllMissingParts</t>
  </si>
  <si>
    <t>ShowAllMissingParts</t>
  </si>
  <si>
    <t>Always show all missing body parts</t>
  </si>
  <si>
    <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레이어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활성화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</rPr>
      <t>뼈와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장기가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시각적으로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겹칠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있음</t>
    </r>
    <r>
      <rPr>
        <sz val="11"/>
        <color rgb="FF000000"/>
        <rFont val="Calibri"/>
        <family val="2"/>
      </rPr>
      <t>)</t>
    </r>
  </si>
  <si>
    <r>
      <t>바닐라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눈</t>
    </r>
  </si>
  <si>
    <r>
      <t>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인형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변형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허용</t>
    </r>
  </si>
  <si>
    <r>
      <t>목록에서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바닐라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신체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부위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색상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사용</t>
    </r>
  </si>
  <si>
    <r>
      <t>신체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부위</t>
    </r>
  </si>
  <si>
    <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체형에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적절한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부위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할당</t>
    </r>
  </si>
  <si>
    <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신체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부위</t>
    </r>
    <r>
      <rPr>
        <sz val="11"/>
        <color rgb="FF000000"/>
        <rFont val="Calibri"/>
        <family val="2"/>
      </rPr>
      <t>:</t>
    </r>
  </si>
  <si>
    <r>
      <t>신체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부위</t>
    </r>
    <r>
      <rPr>
        <sz val="11"/>
        <color rgb="FF000000"/>
        <rFont val="Calibri"/>
        <family val="2"/>
      </rPr>
      <t>:</t>
    </r>
  </si>
  <si>
    <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초기화</t>
    </r>
  </si>
  <si>
    <r>
      <t>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</rPr>
      <t>할당</t>
    </r>
  </si>
  <si>
    <t>보철물로 신체 부위 완성</t>
  </si>
  <si>
    <t>이식된 장기 표시</t>
  </si>
  <si>
    <t>아동 연령 범위 ({0} - {1})</t>
  </si>
  <si>
    <t>결손된 모든 신체 부위 항상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</si>
</sst>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25" sqref="E25"/>
    </sheetView>
  </sheetViews>
  <sheetFormatPr defaultRowHeight="16.5" x14ac:dyDescent="0.3"/>
  <cols>
    <col min="1" max="1" width="9.140625" style="1" customWidth="1"/>
    <col min="2" max="2" width="13.42578125" style="1" customWidth="1"/>
    <col min="3" max="3" width="35.140625" style="1" customWidth="1"/>
    <col min="4" max="4" width="23.7109375" style="1" customWidth="1"/>
    <col min="5" max="5" width="66.140625" style="1" customWidth="1"/>
    <col min="6" max="6" width="65.7109375" style="1" customWidth="1"/>
    <col min="7" max="7" width="28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7" x14ac:dyDescent="0.3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7" x14ac:dyDescent="0.3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spans="1:7" x14ac:dyDescent="0.3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spans="1:7" x14ac:dyDescent="0.3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spans="1:7" x14ac:dyDescent="0.3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spans="1:7" x14ac:dyDescent="0.3">
      <c r="A8" s="1" t="s">
        <v>31</v>
      </c>
      <c r="B8" s="1" t="s">
        <v>7</v>
      </c>
      <c r="C8" s="1" t="s">
        <v>32</v>
      </c>
      <c r="E8" s="1" t="s">
        <v>33</v>
      </c>
      <c r="F8" s="1" t="s">
        <v>34</v>
      </c>
    </row>
    <row r="9" spans="1:7" x14ac:dyDescent="0.3">
      <c r="A9" s="1" t="s">
        <v>35</v>
      </c>
      <c r="B9" s="1" t="s">
        <v>7</v>
      </c>
      <c r="C9" s="1" t="s">
        <v>36</v>
      </c>
      <c r="E9" s="1" t="s">
        <v>37</v>
      </c>
      <c r="F9" s="1" t="s">
        <v>38</v>
      </c>
    </row>
    <row r="10" spans="1:7" x14ac:dyDescent="0.3">
      <c r="A10" s="1" t="s">
        <v>39</v>
      </c>
      <c r="B10" s="1" t="s">
        <v>7</v>
      </c>
      <c r="C10" s="1" t="s">
        <v>40</v>
      </c>
      <c r="E10" s="1" t="s">
        <v>41</v>
      </c>
      <c r="F10" s="1" t="s">
        <v>42</v>
      </c>
    </row>
    <row r="11" spans="1:7" x14ac:dyDescent="0.3">
      <c r="A11" s="1" t="s">
        <v>43</v>
      </c>
      <c r="B11" s="1" t="s">
        <v>7</v>
      </c>
      <c r="C11" s="1" t="s">
        <v>44</v>
      </c>
      <c r="E11" s="1" t="s">
        <v>45</v>
      </c>
      <c r="F11" s="1" t="s">
        <v>46</v>
      </c>
    </row>
    <row r="12" spans="1:7" x14ac:dyDescent="0.3">
      <c r="A12" s="1" t="s">
        <v>47</v>
      </c>
      <c r="B12" s="1" t="s">
        <v>7</v>
      </c>
      <c r="C12" s="1" t="s">
        <v>48</v>
      </c>
      <c r="E12" s="1" t="s">
        <v>49</v>
      </c>
      <c r="F12" s="1" t="s">
        <v>50</v>
      </c>
    </row>
    <row r="13" spans="1:7" x14ac:dyDescent="0.3">
      <c r="A13" s="1" t="s">
        <v>51</v>
      </c>
      <c r="B13" s="1" t="s">
        <v>7</v>
      </c>
      <c r="C13" s="1" t="s">
        <v>52</v>
      </c>
      <c r="E13" s="1" t="s">
        <v>52</v>
      </c>
      <c r="F13" s="1" t="s">
        <v>53</v>
      </c>
    </row>
    <row r="14" spans="1:7" x14ac:dyDescent="0.3">
      <c r="A14" s="1" t="s">
        <v>54</v>
      </c>
      <c r="B14" s="1" t="s">
        <v>7</v>
      </c>
      <c r="C14" s="1" t="s">
        <v>55</v>
      </c>
      <c r="E14" s="1" t="s">
        <v>56</v>
      </c>
      <c r="F14" s="1" t="s">
        <v>57</v>
      </c>
    </row>
    <row r="15" spans="1:7" x14ac:dyDescent="0.3">
      <c r="A15" s="1" t="s">
        <v>58</v>
      </c>
      <c r="B15" s="1" t="s">
        <v>7</v>
      </c>
      <c r="C15" s="1" t="s">
        <v>59</v>
      </c>
      <c r="E15" s="1" t="s">
        <v>60</v>
      </c>
      <c r="F15" s="3" t="s">
        <v>80</v>
      </c>
    </row>
    <row r="16" spans="1:7" x14ac:dyDescent="0.3">
      <c r="A16" s="1" t="s">
        <v>61</v>
      </c>
      <c r="B16" s="1" t="s">
        <v>7</v>
      </c>
      <c r="C16" s="1" t="s">
        <v>62</v>
      </c>
      <c r="E16" s="1" t="s">
        <v>63</v>
      </c>
      <c r="F16" s="3" t="s">
        <v>81</v>
      </c>
    </row>
    <row r="17" spans="1:6" x14ac:dyDescent="0.3">
      <c r="A17" s="1" t="s">
        <v>64</v>
      </c>
      <c r="B17" s="1" t="s">
        <v>7</v>
      </c>
      <c r="C17" s="1" t="s">
        <v>65</v>
      </c>
      <c r="E17" s="1" t="s">
        <v>66</v>
      </c>
      <c r="F17" s="3" t="s">
        <v>82</v>
      </c>
    </row>
    <row r="18" spans="1:6" x14ac:dyDescent="0.3">
      <c r="A18" s="1" t="s">
        <v>67</v>
      </c>
      <c r="B18" s="1" t="s">
        <v>7</v>
      </c>
      <c r="C18" s="1" t="s">
        <v>68</v>
      </c>
      <c r="E18" s="1" t="s">
        <v>69</v>
      </c>
      <c r="F18" s="3" t="s">
        <v>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sheetData>
    <row r="1" spans="1:8" x14ac:dyDescent="0.25">
      <c r="A1" t="s">
        <v>6</v>
      </c>
      <c r="B1" t="s">
        <v>7</v>
      </c>
      <c r="C1" t="s">
        <v>8</v>
      </c>
      <c r="E1" t="s">
        <v>9</v>
      </c>
      <c r="F1" t="s">
        <v>10</v>
      </c>
      <c r="H1" t="str" cm="1">
        <f t="array" ref="H1">_xlfn.LAMBDA(_xlpm.x,IF(ISERROR(_xlpm.x),"NODE NOT FOUND",""))(VLOOKUP(A1,Sheet1!$A$2:$A$9999,1,FALSE))</f>
        <v/>
      </c>
    </row>
    <row r="2" spans="1:8" x14ac:dyDescent="0.25">
      <c r="A2" t="s">
        <v>11</v>
      </c>
      <c r="B2" t="s">
        <v>7</v>
      </c>
      <c r="C2" t="s">
        <v>12</v>
      </c>
      <c r="E2" t="s">
        <v>13</v>
      </c>
      <c r="F2" s="2" t="s">
        <v>70</v>
      </c>
      <c r="H2" t="str" cm="1">
        <f t="array" ref="H2">_xlfn.LAMBDA(_xlpm.x,IF(ISERROR(_xlpm.x),"NODE NOT FOUND",""))(VLOOKUP(A2,Sheet1!$A$2:$A$9999,1,FALSE))</f>
        <v/>
      </c>
    </row>
    <row r="3" spans="1:8" x14ac:dyDescent="0.25">
      <c r="A3" t="s">
        <v>15</v>
      </c>
      <c r="B3" t="s">
        <v>7</v>
      </c>
      <c r="C3" t="s">
        <v>16</v>
      </c>
      <c r="E3" t="s">
        <v>17</v>
      </c>
      <c r="F3" s="2" t="s">
        <v>71</v>
      </c>
      <c r="H3" t="str" cm="1">
        <f t="array" ref="H3">_xlfn.LAMBDA(_xlpm.x,IF(ISERROR(_xlpm.x),"NODE NOT FOUND",""))(VLOOKUP(A3,Sheet1!$A$2:$A$9999,1,FALSE))</f>
        <v/>
      </c>
    </row>
    <row r="4" spans="1:8" x14ac:dyDescent="0.25">
      <c r="A4" t="s">
        <v>19</v>
      </c>
      <c r="B4" t="s">
        <v>7</v>
      </c>
      <c r="C4" t="s">
        <v>20</v>
      </c>
      <c r="E4" t="s">
        <v>21</v>
      </c>
      <c r="F4" s="2" t="s">
        <v>72</v>
      </c>
      <c r="H4" t="str" cm="1">
        <f t="array" ref="H4">_xlfn.LAMBDA(_xlpm.x,IF(ISERROR(_xlpm.x),"NODE NOT FOUND",""))(VLOOKUP(A4,Sheet1!$A$2:$A$9999,1,FALSE))</f>
        <v/>
      </c>
    </row>
    <row r="5" spans="1:8" x14ac:dyDescent="0.25">
      <c r="A5" t="s">
        <v>23</v>
      </c>
      <c r="B5" t="s">
        <v>7</v>
      </c>
      <c r="C5" t="s">
        <v>24</v>
      </c>
      <c r="E5" t="s">
        <v>25</v>
      </c>
      <c r="F5" s="2" t="s">
        <v>73</v>
      </c>
      <c r="H5" t="str" cm="1">
        <f t="array" ref="H5">_xlfn.LAMBDA(_xlpm.x,IF(ISERROR(_xlpm.x),"NODE NOT FOUND",""))(VLOOKUP(A5,Sheet1!$A$2:$A$9999,1,FALSE))</f>
        <v/>
      </c>
    </row>
    <row r="6" spans="1:8" x14ac:dyDescent="0.25">
      <c r="A6" t="s">
        <v>27</v>
      </c>
      <c r="B6" t="s">
        <v>7</v>
      </c>
      <c r="C6" t="s">
        <v>28</v>
      </c>
      <c r="E6" t="s">
        <v>29</v>
      </c>
      <c r="F6" s="2" t="s">
        <v>30</v>
      </c>
      <c r="H6" t="str" cm="1">
        <f t="array" ref="H6">_xlfn.LAMBDA(_xlpm.x,IF(ISERROR(_xlpm.x),"NODE NOT FOUND",""))(VLOOKUP(A6,Sheet1!$A$2:$A$9999,1,FALSE))</f>
        <v/>
      </c>
    </row>
    <row r="7" spans="1:8" x14ac:dyDescent="0.25">
      <c r="A7" t="s">
        <v>31</v>
      </c>
      <c r="B7" t="s">
        <v>7</v>
      </c>
      <c r="C7" t="s">
        <v>32</v>
      </c>
      <c r="E7" t="s">
        <v>33</v>
      </c>
      <c r="F7" s="2" t="s">
        <v>74</v>
      </c>
      <c r="H7" t="str" cm="1">
        <f t="array" ref="H7">_xlfn.LAMBDA(_xlpm.x,IF(ISERROR(_xlpm.x),"NODE NOT FOUND",""))(VLOOKUP(A7,Sheet1!$A$2:$A$9999,1,FALSE))</f>
        <v/>
      </c>
    </row>
    <row r="8" spans="1:8" x14ac:dyDescent="0.25">
      <c r="A8" t="s">
        <v>35</v>
      </c>
      <c r="B8" t="s">
        <v>7</v>
      </c>
      <c r="C8" t="s">
        <v>36</v>
      </c>
      <c r="E8" t="s">
        <v>37</v>
      </c>
      <c r="F8" s="2" t="s">
        <v>75</v>
      </c>
      <c r="H8" t="str" cm="1">
        <f t="array" ref="H8">_xlfn.LAMBDA(_xlpm.x,IF(ISERROR(_xlpm.x),"NODE NOT FOUND",""))(VLOOKUP(A8,Sheet1!$A$2:$A$9999,1,FALSE))</f>
        <v/>
      </c>
    </row>
    <row r="9" spans="1:8" x14ac:dyDescent="0.25">
      <c r="A9" t="s">
        <v>39</v>
      </c>
      <c r="B9" t="s">
        <v>7</v>
      </c>
      <c r="C9" t="s">
        <v>40</v>
      </c>
      <c r="E9" t="s">
        <v>41</v>
      </c>
      <c r="F9" s="2" t="s">
        <v>76</v>
      </c>
      <c r="H9" t="str" cm="1">
        <f t="array" ref="H9">_xlfn.LAMBDA(_xlpm.x,IF(ISERROR(_xlpm.x),"NODE NOT FOUND",""))(VLOOKUP(A9,Sheet1!$A$2:$A$9999,1,FALSE))</f>
        <v/>
      </c>
    </row>
    <row r="10" spans="1:8" x14ac:dyDescent="0.25">
      <c r="A10" t="s">
        <v>43</v>
      </c>
      <c r="B10" t="s">
        <v>7</v>
      </c>
      <c r="C10" t="s">
        <v>44</v>
      </c>
      <c r="E10" t="s">
        <v>45</v>
      </c>
      <c r="F10" s="2" t="s">
        <v>77</v>
      </c>
      <c r="H10" t="str" cm="1">
        <f t="array" ref="H10">_xlfn.LAMBDA(_xlpm.x,IF(ISERROR(_xlpm.x),"NODE NOT FOUND",""))(VLOOKUP(A10,Sheet1!$A$2:$A$9999,1,FALSE))</f>
        <v/>
      </c>
    </row>
    <row r="11" spans="1:8" x14ac:dyDescent="0.25">
      <c r="A11" t="s">
        <v>47</v>
      </c>
      <c r="B11" t="s">
        <v>7</v>
      </c>
      <c r="C11" t="s">
        <v>48</v>
      </c>
      <c r="E11" t="s">
        <v>49</v>
      </c>
      <c r="F11" s="2" t="s">
        <v>78</v>
      </c>
      <c r="H11" t="str" cm="1">
        <f t="array" ref="H11">_xlfn.LAMBDA(_xlpm.x,IF(ISERROR(_xlpm.x),"NODE NOT FOUND",""))(VLOOKUP(A11,Sheet1!$A$2:$A$9999,1,FALSE))</f>
        <v/>
      </c>
    </row>
    <row r="12" spans="1:8" x14ac:dyDescent="0.25">
      <c r="A12" t="s">
        <v>51</v>
      </c>
      <c r="B12" t="s">
        <v>7</v>
      </c>
      <c r="C12" t="s">
        <v>52</v>
      </c>
      <c r="E12" t="s">
        <v>52</v>
      </c>
      <c r="F12" s="2" t="s">
        <v>53</v>
      </c>
      <c r="H12" t="str" cm="1">
        <f t="array" ref="H12">_xlfn.LAMBDA(_xlpm.x,IF(ISERROR(_xlpm.x),"NODE NOT FOUND",""))(VLOOKUP(A12,Sheet1!$A$2:$A$9999,1,FALSE))</f>
        <v/>
      </c>
    </row>
    <row r="13" spans="1:8" x14ac:dyDescent="0.25">
      <c r="A13" t="s">
        <v>54</v>
      </c>
      <c r="B13" t="s">
        <v>7</v>
      </c>
      <c r="C13" t="s">
        <v>55</v>
      </c>
      <c r="E13" t="s">
        <v>56</v>
      </c>
      <c r="F13" s="2" t="s">
        <v>79</v>
      </c>
      <c r="H13" t="str" cm="1">
        <f t="array" ref="H13">_xlfn.LAMBDA(_xlpm.x,IF(ISERROR(_xlpm.x),"NODE NOT FOUND",""))(VLOOKUP(A13,Sheet1!$A$2:$A$9999,1,FALSE))</f>
        <v/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2026-07-15T07:03:16Z</dcterms:modified>
</cp:coreProperties>
</file>